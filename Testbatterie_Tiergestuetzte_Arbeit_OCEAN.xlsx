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batterie (35 Tests)" sheetId="1" r:id="rId1"/>
    <sheet name="Auswertung" sheetId="2" r:id="rId2"/>
  </sheets>
  <calcPr calcId="124519" fullCalcOnLoad="1"/>
</workbook>
</file>

<file path=xl/sharedStrings.xml><?xml version="1.0" encoding="utf-8"?>
<sst xmlns="http://schemas.openxmlformats.org/spreadsheetml/2006/main" count="306" uniqueCount="198">
  <si>
    <t>Test-Nr.</t>
  </si>
  <si>
    <t>OCEAN-Dimension</t>
  </si>
  <si>
    <t>Testname</t>
  </si>
  <si>
    <t>Setting &amp; Durchführung (Praxisform)</t>
  </si>
  <si>
    <t>Material</t>
  </si>
  <si>
    <t>Dauer</t>
  </si>
  <si>
    <t>Rolle der Figurant:in</t>
  </si>
  <si>
    <t>Beobachtungskriterien (Checkliste)</t>
  </si>
  <si>
    <t>Bewertungsskala (-2 bis +2, mit Ankern)</t>
  </si>
  <si>
    <t>Score (-2..2)</t>
  </si>
  <si>
    <t>Offenheit</t>
  </si>
  <si>
    <t>Unbekanntes Objekt</t>
  </si>
  <si>
    <t>Ort: ruhiger Raum. Material: neuer Alltagsgegenstand (z. B. Klappstuhl). Ablauf: Hund betritt Raum, Gegenstand steht 2 m entfernt. 2 Min freie Beobachtung.</t>
  </si>
  <si>
    <t>Gegenstand, Timer, ruhiger Raum</t>
  </si>
  <si>
    <t>2–3 Min</t>
  </si>
  <si>
    <t>Figurant: stellt Objekt vor Beginn unauffällig auf, bleibt in 3 m Abstand neutral.</t>
  </si>
  <si>
    <t>[ ] Annäherung  [ ] Schnüffeln/Berühren  [ ] Körperspannung locker  [ ] Blickwechsel zum Menschen  [ ] selbstständiges Erkunden</t>
  </si>
  <si>
    <t>+2 = zeigt Verhalten klar, stabil, souverän und situationsangemessen
+1 = zeigt Verhalten erkennbar und überwiegend angemessen
 0 = neutral / uneinheitlich / keine klare Tendenz
-1 = zeigt Verhalten zögerlich oder inkonsistent
-2 = zeigt Verhalten nicht / deutliche Unsicherheit oder Meideverhalten</t>
  </si>
  <si>
    <t>Neuer Bodenbelag</t>
  </si>
  <si>
    <t>Ort: Korridor. Material: Decke/Folie/Gittermatte. Ablauf: Hund wird in Leinenlänge eingeladen, den Belag zu überqueren. Kein Zug, freie Entscheidung.</t>
  </si>
  <si>
    <t>Decke/Folie/Gittermatte, Leine, Timer</t>
  </si>
  <si>
    <t>2 Min</t>
  </si>
  <si>
    <t>Figurant: wartet am Ende der Strecke, ruft nicht, bleibt freundlich neutral.</t>
  </si>
  <si>
    <t>[ ] Schrittfrequenz normal  [ ] Zögerlichkeit  [ ] Umwege  [ ] Schnüffeln  [ ] Wiederholungsbereitschaft</t>
  </si>
  <si>
    <t>Neue Umgebung erkunden</t>
  </si>
  <si>
    <t>Ort: unbekannter Raum/Gartenbereich. Ablauf: Leine ab/locker, Hund erkundet frei. Mensch bewegt sich ruhig mit, keine Aufforderungen.</t>
  </si>
  <si>
    <t>Ruhiger Raum/Garten, Timer</t>
  </si>
  <si>
    <t>3 Min</t>
  </si>
  <si>
    <t>Figurant: sitzt passiv im Raum, vermeidet Blickkontakt, bleibt neutral.</t>
  </si>
  <si>
    <t>[ ] Raumabdeckung  [ ] Dauer der Erkundung  [ ] Pausen  [ ] Blickkontakt  [ ] Gelassenheit</t>
  </si>
  <si>
    <t>Verschobene Möbel</t>
  </si>
  <si>
    <t>Ort: Raum mit umgestellten Möbeln. Ablauf: Hund betritt Raum, Wege leicht verändert. Beobachtung des Navigierens.</t>
  </si>
  <si>
    <t>Stühle/Tisch umgestellt, Timer</t>
  </si>
  <si>
    <t>Figurant: öffnet Tür und schließt sie leise, bleibt danach neutral.</t>
  </si>
  <si>
    <t>[ ] Anpassungsfähigkeit  [ ] vorsichtiges Umgehen  [ ] Selbstsicherheit  [ ] Erkundungsdauer</t>
  </si>
  <si>
    <t>Alltagsgeräusch leise</t>
  </si>
  <si>
    <t>Ort: Raum. Material: leiser Handstaubsauger o. Papierknistern. Ablauf: Geräusch kurz und leise, dann aus. Hund kann erkunden.</t>
  </si>
  <si>
    <t>Geräuschquelle (leise!), Timer</t>
  </si>
  <si>
    <t>1–2 Min</t>
  </si>
  <si>
    <t>Figurant: löst Geräusch aus (kurz), legt Gerät ab, verhält sich ruhig.</t>
  </si>
  <si>
    <t>[ ] Startreaktion mild  [ ] Erholung &lt;10 s  [ ] Annäherung  [ ] Schnüffeln  [ ] Körpersprache locker</t>
  </si>
  <si>
    <t>Objekt mit Bewegung (sanft)</t>
  </si>
  <si>
    <t>Ort: Raum. Material: rollender Ball sanft angestoßen. Ablauf: Ball wird leicht angestoßen, rollt 1–2 m. Hund darf reagieren.</t>
  </si>
  <si>
    <t>Weicher Ball, Timer</t>
  </si>
  <si>
    <t>Figurant: stößt Ball sanft an, bleibt danach stehen, kein Anlocken.</t>
  </si>
  <si>
    <t>[ ] Neugier  [ ] Annäherung  [ ] Spielansatz  [ ] Blickwechsel  [ ] Startle minimal</t>
  </si>
  <si>
    <t>Geruchsneuerung</t>
  </si>
  <si>
    <t>Ort: Raum. Material: neues Duftobjekt (z. B. Kräutersäckchen). Ablauf: Duft wird platziert, Hund darf frei schnüffeln.</t>
  </si>
  <si>
    <t>Duftobjekt, Timer</t>
  </si>
  <si>
    <t>Figurant: platziert Duft unauffällig, bleibt 2 m entfernt.</t>
  </si>
  <si>
    <t>[ ] Annäherung  [ ] Schnüffeldauer  [ ] Ruhe  [ ] selbstständige Exploration</t>
  </si>
  <si>
    <t>Gewissenhaftigkeit</t>
  </si>
  <si>
    <t>Ruhiges Warten (Sitz/Platz)</t>
  </si>
  <si>
    <t>Ort: ruhiger Raum. Ablauf: Hund nimmt bekannte Position ein und hält sie mit lockerer Leine; Mensch still, Figurant bewegt sich leise vorbei.</t>
  </si>
  <si>
    <t>Leine, Timer</t>
  </si>
  <si>
    <t>1 Min</t>
  </si>
  <si>
    <t>Figurant: geht 3 m vorbei, neutraler Blick, kein Ansprechen.</t>
  </si>
  <si>
    <t>[ ] Position halten  [ ] geringe Unruhe  [ ] Blickwechsel kontrolliert  [ ] Lösen nur auf Signal</t>
  </si>
  <si>
    <t>Lose-Leine-Stehen</t>
  </si>
  <si>
    <t>Ort: Raum. Ablauf: Hund steht an lockerer Leine neben Mensch. Kurze Wartephase mit kleiner Ablenkung (Tür öffnen/schließen).</t>
  </si>
  <si>
    <t>Leine, Tür, Timer</t>
  </si>
  <si>
    <t>Figurant: öffnet/schließt Tür einmal leise.</t>
  </si>
  <si>
    <t>[ ] Leine bleibt lose  [ ] Position bleibt  [ ] geringe Aufregung</t>
  </si>
  <si>
    <t>Ruhiger Positionswechsel</t>
  </si>
  <si>
    <t>Ort: Raum. Ablauf: Hund wechselt auf Signal zwischen zwei Matten (A↔B) langsam.</t>
  </si>
  <si>
    <t>2 Matten, Timer</t>
  </si>
  <si>
    <t>Figurant: steht neutral neben Matte B.</t>
  </si>
  <si>
    <t>[ ] Signalbefolgung  [ ] gleichmäßiges Tempo  [ ] geringe Ablenkbarkeit</t>
  </si>
  <si>
    <t>Target berühren</t>
  </si>
  <si>
    <t>Ort: Raum. Material: Handtarget oder Zielstab. Ablauf: Hund berührt Target auf leises Signal.</t>
  </si>
  <si>
    <t>Target/Hand, Timer</t>
  </si>
  <si>
    <t>Figurant: hält Target kurzzeitig, spricht nicht.</t>
  </si>
  <si>
    <t>[ ] Präzision  [ ] ruhige Ausführung  [ ] Blickkontakt vorher/nachher</t>
  </si>
  <si>
    <t>Aufräumen leicht (fallen lassen)</t>
  </si>
  <si>
    <t>Ort: Raum. Material: Spielzeug. Ablauf: Hund lässt Spielzeug auf Signal in Kiste fallen (bekanntes Verhalten).</t>
  </si>
  <si>
    <t>Spielzeug, flache Kiste, Timer</t>
  </si>
  <si>
    <t>Figurant: hält Kiste stabil, keine Hilfen.</t>
  </si>
  <si>
    <t>[ ] Signalbefolgung  [ ] ruhige Motorik  [ ] geringe Impulsivität</t>
  </si>
  <si>
    <t>Leinenruhe bei Bewegung</t>
  </si>
  <si>
    <t>Ort: Korridor. Ablauf: Mensch geht langsam, hält an; Hund bleibt ruhig an lockerer Leine.</t>
  </si>
  <si>
    <t>Figurant: kreuzt in 3 m Abstand einmal den Weg.</t>
  </si>
  <si>
    <t>[ ] Leinenlockerheit  [ ] Verzögerungsfrei stehenbleiben  [ ] geringe Erregung</t>
  </si>
  <si>
    <t>Mattenruhe</t>
  </si>
  <si>
    <t>Ort: Raum. Ablauf: Hund liegt auf Matte, Mensch steht 2 m entfernt, Figurant räumt leise etwas um.</t>
  </si>
  <si>
    <t>Matte, Timer</t>
  </si>
  <si>
    <t>Figurant: bewegt 1–2 leichte Gegenstände geräuscharm.</t>
  </si>
  <si>
    <t>[ ] Liegenbleiben  [ ] Kopf ruhig  [ ] langsame Atmung</t>
  </si>
  <si>
    <t>Extraversion</t>
  </si>
  <si>
    <t>Freudige Begrüßung (neutral)</t>
  </si>
  <si>
    <t>Ort: Raum. Ablauf: Figurant tritt ein, bleibt 2 m stehen, begrüßt freundlich neutral, hält Hand kurz hin.</t>
  </si>
  <si>
    <t>Tür, Timer</t>
  </si>
  <si>
    <t>Figurant: sagt ruhig ‚Hallo‘, Hand flach, kein Drängen.</t>
  </si>
  <si>
    <t>[ ] Annäherung  [ ] Schwanz neutral/freudig  [ ] Blickkontakt  [ ] Überdrehen nein</t>
  </si>
  <si>
    <t>Mitgehen zu Figurant</t>
  </si>
  <si>
    <t>Ort: Raum/Korridor. Ablauf: Figurant geht 5–7 m, Hund folgt mit Mensch gemeinsam locker.</t>
  </si>
  <si>
    <t>Figurant: geht in gleichmäßigem Tempo, spricht wenig.</t>
  </si>
  <si>
    <t>[ ] Freude an Bewegung  [ ] gleichmäßiges Tempo  [ ] Blickwechsel positiv</t>
  </si>
  <si>
    <t>Kurze Aktivierungsrunde</t>
  </si>
  <si>
    <t>Ort: Raum/Garten. Ablauf: Figurant animiert Hund zu 2–3 lockeren Richtungswechseln (ohne Rennen), dann Stopp.</t>
  </si>
  <si>
    <t>Freie Fläche, Timer</t>
  </si>
  <si>
    <t>Figurant: leichte Körpersprache, keine Lautstärke.</t>
  </si>
  <si>
    <t>[ ] Positive Aktivierung  [ ] Stopps gut annehmbar  [ ] kein Hochdrehen</t>
  </si>
  <si>
    <t>Zuwendung erfragen</t>
  </si>
  <si>
    <t>Ort: Raum. Ablauf: Figurant sitzt, ruft Hund mit ruhiger Stimme einmal, bietet ruhige Streicheleinheit an, beendet nach 5 s.</t>
  </si>
  <si>
    <t>Stuhl, Timer</t>
  </si>
  <si>
    <t>Figurant: ruft einmal, wartet, streichelt kurz (Schulter/Brust).</t>
  </si>
  <si>
    <t>[ ] Eigeninitiative  [ ] Freude an Nähe  [ ] kurze Distanz ok</t>
  </si>
  <si>
    <t>Gemeinsames Stehen mit 2 Personen</t>
  </si>
  <si>
    <t>Ort: Raum. Ablauf: Mensch &amp; Figurant stehen 1,5 m auseinander; Hund steht zwischen/bei beiden.</t>
  </si>
  <si>
    <t>Timer</t>
  </si>
  <si>
    <t>Figurant: ruhig, spricht ggf. kurz freundlich.</t>
  </si>
  <si>
    <t>[ ] Entspannte Präsenz  [ ] Blickwechsel  [ ] keine Unruhe</t>
  </si>
  <si>
    <t>Objekt zeigen und folgen</t>
  </si>
  <si>
    <t>Ort: Raum. Ablauf: Figurant zeigt leise ein interessantes, ungefährliches Objekt (z. B. Bürste) und geht 3 m; Hund kann folgen.</t>
  </si>
  <si>
    <t>Objekt, Timer</t>
  </si>
  <si>
    <t>Figurant: zeigt kurz, geht langsam, kein Locken.</t>
  </si>
  <si>
    <t>[ ] Neugier  [ ] Folgebereitschaft  [ ] gelassene Nähe</t>
  </si>
  <si>
    <t>Kurzer Smalltalk</t>
  </si>
  <si>
    <t>Ort: Raum. Ablauf: Mensch und Figurant unterhalten sich 30–60 s, beachten den Hund wenig.</t>
  </si>
  <si>
    <t>Figurant: neutral-freundlicher Ton.</t>
  </si>
  <si>
    <t>[ ] Eigenständige Beschäftigung  [ ] Ruhe  [ ] angemessene Aufmerksamkeit</t>
  </si>
  <si>
    <t>Verträglichkeit</t>
  </si>
  <si>
    <t>Ressourcen teilen (neutral)</t>
  </si>
  <si>
    <t>Ort: Raum. Material: neutrales Spielzeug. Ablauf: Hund hält Spielzeug kurz; auf Signal gibt Mensch es ab, Figurant betrachtet es, gibt es direkt zurück.</t>
  </si>
  <si>
    <t>Spielzeug, Timer</t>
  </si>
  <si>
    <t>Figurant: nimmt ruhig entgegen, sofortige Rückgabe.</t>
  </si>
  <si>
    <t>[ ] Gelassen beim Abgeben  [ ] freundliche Erwartung  [ ] keine Anspannung</t>
  </si>
  <si>
    <t>Enger Durchgang</t>
  </si>
  <si>
    <t>Ort: Tür/Engstelle. Ablauf: Mensch &amp; Hund gehen zuerst, Figurant folgt eng nach, einmal Positionswechsel.</t>
  </si>
  <si>
    <t>Leine, Engstelle</t>
  </si>
  <si>
    <t>Figurant: körperlich rücksichtsvoll, kein Drängen.</t>
  </si>
  <si>
    <t>[ ] Rücksicht  [ ] kein Blockieren  [ ] höfliche Bewegung</t>
  </si>
  <si>
    <t>Fellpflege simuliert</t>
  </si>
  <si>
    <t>Ort: Raum. Material: weiche Bürste. Ablauf: Figurant zeigt Bürste, streicht 3–4x sanft über Schulter/Brust.</t>
  </si>
  <si>
    <t>Weiche Bürste, Timer</t>
  </si>
  <si>
    <t>Figurant: sehr behutsam, stoppt bei Unwohl.</t>
  </si>
  <si>
    <t>[ ] Toleranz  [ ] Entspannung  [ ] positive Akzeptanz</t>
  </si>
  <si>
    <t>An- und Ableinen durch andere Person</t>
  </si>
  <si>
    <t>Ort: Raum. Ablauf: Figurant übernimmt Leine kurz (Mensch bleibt nah), führt 3 m, gibt zurück.</t>
  </si>
  <si>
    <t>Figurant: ruhig, vorausschauend, kein Ziehen.</t>
  </si>
  <si>
    <t>[ ] Vertrauen  [ ] gelassene Übergabe  [ ] folgt freundlich</t>
  </si>
  <si>
    <t>Gentle Handling (Pfote)</t>
  </si>
  <si>
    <t>Ort: Raum. Ablauf: Figurant hebt kurz Pfote an, hält 2 s, setzt behutsam ab.</t>
  </si>
  <si>
    <t>Figurant: verbal ankündigen, sehr sanft.</t>
  </si>
  <si>
    <t>[ ] Akzeptanz  [ ] Entspannung  [ ] Blick weich</t>
  </si>
  <si>
    <t>Raum teilen (Sitz neben Figurant)</t>
  </si>
  <si>
    <t>Ort: Raum. Ablauf: Hund sitzt/liegt 1 m neben Figurant, Mensch 2 m entfernt, 60 s gemeinsam ruhig atmen.</t>
  </si>
  <si>
    <t>Matte optional, Timer</t>
  </si>
  <si>
    <t>Figurant: ruhig, atmet tief, keine Ansprache.</t>
  </si>
  <si>
    <t>[ ] entspannte Koexistenz  [ ] Nähe akzeptiert  [ ] ruhiger Blick</t>
  </si>
  <si>
    <t>Leckerli aus neutraler Hand</t>
  </si>
  <si>
    <t>Ort: Raum. Ablauf: Figurant bietet flach ein neutrales Leckerli, Hand ruhig, kein Locken.</t>
  </si>
  <si>
    <t>Neutrales Leckerli, Desinfektion, Timer</t>
  </si>
  <si>
    <t>Figurant: Hand flach, Blick weich, sofortige Distanz möglich.</t>
  </si>
  <si>
    <t>[ ] höfliche Annahme  [ ] Maul weich  [ ] kein Hasteln</t>
  </si>
  <si>
    <t>Neurotizismus</t>
  </si>
  <si>
    <t>Fallender Gegenstand (leicht)</t>
  </si>
  <si>
    <t>Ort: Raum. Material: leichter Gegenstand fällt aus 30 cm auf Boden (leise). Ablauf: einmalige kurze Irritation.</t>
  </si>
  <si>
    <t>Leichter Gegenstand, Timer</t>
  </si>
  <si>
    <t>Figurant: lässt fallen, bleibt ruhig.</t>
  </si>
  <si>
    <t>[ ] milde Startreaktion  [ ] schnelle Beruhigung  [ ] evtl. Annäherung</t>
  </si>
  <si>
    <t>Türgeräusch moderat</t>
  </si>
  <si>
    <t>Ort: Raum. Ablauf: Tür wird etwas schneller geschlossen (nicht knallend). Einmalig.</t>
  </si>
  <si>
    <t>Figurant: schließt Tür, bleibt neutral.</t>
  </si>
  <si>
    <t>[ ] Erholung &lt;10–15 s  [ ] Blick zum Menschen  [ ] Körperspannung sinkt</t>
  </si>
  <si>
    <t>Unerwartete Bewegung (Mensch steht auf)</t>
  </si>
  <si>
    <t>Ort: Raum. Ablauf: Figurant steht plötzlich, geht 2 m, setzt sich wieder.</t>
  </si>
  <si>
    <t>Figurant: neutrale Mimik, ruhige Bewegung.</t>
  </si>
  <si>
    <t>[ ] Startle mild  [ ] Orientierung  [ ] schnelle Normalisierung</t>
  </si>
  <si>
    <t>Klappern (Besteck/Schlüssel)</t>
  </si>
  <si>
    <t>Ort: Raum. Ablauf: kurzes leises Klappern, dann Ruhe.</t>
  </si>
  <si>
    <t>Schlüsselbund/Besteck, Timer</t>
  </si>
  <si>
    <t>Figurant: klappert 1–2 s leise.</t>
  </si>
  <si>
    <t>[ ] kurzer Blick  [ ] Ruhe kehrt zurück  [ ] Atmung normal</t>
  </si>
  <si>
    <t>Schirm öffnen (gedämpft)</t>
  </si>
  <si>
    <t>Ort: Raum. Material: Regenschirm (leise!). Ablauf: Schirm wird seitlich halb geöffnet, wieder geschlossen.</t>
  </si>
  <si>
    <t>Regenschirm, Timer</t>
  </si>
  <si>
    <t>Figurant: seitliche Position, langsame Bewegung.</t>
  </si>
  <si>
    <t>[ ] milde Überraschung  [ ] schnelle Erholung  [ ] Annäherung möglich</t>
  </si>
  <si>
    <t>Menschen verlassen und wiederkommen</t>
  </si>
  <si>
    <t>Ort: Raum. Ablauf: Figurant verlässt kurz den Raum (10–15 s) und kommt ruhig zurück.</t>
  </si>
  <si>
    <t>Figurant: verabschiedet sich nicht, neutral.</t>
  </si>
  <si>
    <t>[ ] geringes Aufregungsniveau  [ ] freudige, aber ruhige Begrüßung  [ ] schnelle Beruhigung</t>
  </si>
  <si>
    <t>Positionswechsel Mensch (stehend ↔ sitzend)</t>
  </si>
  <si>
    <t>Ort: Raum. Ablauf: Hundeführer:in wechselt Körperhaltung; Hund bleibt gelassen.</t>
  </si>
  <si>
    <t>Figurant: neutral beobachtend.</t>
  </si>
  <si>
    <t>[ ] geringe Irritation  [ ] Orientierung  [ ] Ruhe</t>
  </si>
  <si>
    <t>Digitale Auswertung – OCEAN (Therapiehund-Assessment)</t>
  </si>
  <si>
    <t>Dimension</t>
  </si>
  <si>
    <t>Zugehörige Test-Nrn.</t>
  </si>
  <si>
    <t>Mittelwert</t>
  </si>
  <si>
    <t>1, 2, 3, 4, 5, 6, 7</t>
  </si>
  <si>
    <t>8, 9, 10, 11, 12, 13, 14</t>
  </si>
  <si>
    <t>15, 16, 17, 18, 19, 20, 21</t>
  </si>
  <si>
    <t>22, 23, 24, 25, 26, 27, 28</t>
  </si>
  <si>
    <t>29, 30, 31, 32, 33, 34, 35</t>
  </si>
  <si>
    <t>Hinweise:</t>
  </si>
  <si>
    <t>• Trage die Scores (-2..2) im Blatt „Testbatterie (35 Tests)“ ein.
• Die Mittelwerte pro Dimension berechnen sich automatisch.
• Der Radar-Plot zeigt die Ausprägung der 5 Dimensionen.
• Skalenanker: +2 souverän / +1 positiv / 0 neutral / -1 zögerlich / -2 unsicher/meidend.
• Ethik: Kein Zwang, jederzeit Abbruch möglich, nur Alltagsreize, Figurant:in freundlich-neutral.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</si>
</sst>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OCEAN-Profil (Radar)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v>OCEAN-Mittelwerte</c:v>
          </c:tx>
          <c:cat>
            <c:strRef>
              <c:f>Auswertung!$A$4:$A$8</c:f>
              <c:strCache>
                <c:ptCount val="5"/>
                <c:pt idx="0">
                  <c:v>Offenheit</c:v>
                </c:pt>
                <c:pt idx="1">
                  <c:v>Gewissenhaftigkeit</c:v>
                </c:pt>
                <c:pt idx="2">
                  <c:v>Extraversion</c:v>
                </c:pt>
                <c:pt idx="3">
                  <c:v>Verträglichkeit</c:v>
                </c:pt>
                <c:pt idx="4">
                  <c:v>Neurotizismus</c:v>
                </c:pt>
              </c:strCache>
            </c:strRef>
          </c:cat>
          <c:val>
            <c:numRef>
              <c:f>Auswertung!$C$4:$C$8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10001"/>
        <c:axId val="50010002"/>
      </c:radarChart>
      <c:catAx>
        <c:axId val="50010001"/>
        <c:scaling>
          <c:orientation val="minMax"/>
        </c:scaling>
        <c:axPos val="b"/>
        <c:majorGridlines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majorTickMark val="cross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13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cols>
    <col min="1" max="1" width="8.7109375" customWidth="1"/>
    <col min="2" max="2" width="16.7109375" customWidth="1"/>
    <col min="3" max="3" width="26.7109375" customWidth="1"/>
    <col min="4" max="4" width="50.7109375" customWidth="1"/>
    <col min="5" max="5" width="26.7109375" customWidth="1"/>
    <col min="6" max="6" width="10.7109375" customWidth="1"/>
    <col min="7" max="7" width="40.7109375" customWidth="1"/>
    <col min="8" max="9" width="42.7109375" customWidth="1"/>
    <col min="10" max="10" width="14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2" t="s">
        <v>11</v>
      </c>
      <c r="D2" s="3" t="s">
        <v>12</v>
      </c>
      <c r="E2" s="2" t="s">
        <v>13</v>
      </c>
      <c r="F2" s="2" t="s">
        <v>14</v>
      </c>
      <c r="G2" s="3" t="s">
        <v>15</v>
      </c>
      <c r="H2" s="3" t="s">
        <v>16</v>
      </c>
      <c r="I2" s="3" t="s">
        <v>17</v>
      </c>
      <c r="J2" s="4"/>
    </row>
    <row r="3" spans="1:10">
      <c r="A3" s="2">
        <v>2</v>
      </c>
      <c r="B3" s="2" t="s">
        <v>10</v>
      </c>
      <c r="C3" s="2" t="s">
        <v>18</v>
      </c>
      <c r="D3" s="3" t="s">
        <v>19</v>
      </c>
      <c r="E3" s="2" t="s">
        <v>20</v>
      </c>
      <c r="F3" s="2" t="s">
        <v>21</v>
      </c>
      <c r="G3" s="3" t="s">
        <v>22</v>
      </c>
      <c r="H3" s="3" t="s">
        <v>23</v>
      </c>
      <c r="I3" s="3" t="s">
        <v>17</v>
      </c>
      <c r="J3" s="4"/>
    </row>
    <row r="4" spans="1:10">
      <c r="A4" s="2">
        <v>3</v>
      </c>
      <c r="B4" s="2" t="s">
        <v>10</v>
      </c>
      <c r="C4" s="2" t="s">
        <v>24</v>
      </c>
      <c r="D4" s="3" t="s">
        <v>25</v>
      </c>
      <c r="E4" s="2" t="s">
        <v>26</v>
      </c>
      <c r="F4" s="2" t="s">
        <v>27</v>
      </c>
      <c r="G4" s="3" t="s">
        <v>28</v>
      </c>
      <c r="H4" s="3" t="s">
        <v>29</v>
      </c>
      <c r="I4" s="3" t="s">
        <v>17</v>
      </c>
      <c r="J4" s="4"/>
    </row>
    <row r="5" spans="1:10">
      <c r="A5" s="2">
        <v>4</v>
      </c>
      <c r="B5" s="2" t="s">
        <v>10</v>
      </c>
      <c r="C5" s="2" t="s">
        <v>30</v>
      </c>
      <c r="D5" s="3" t="s">
        <v>31</v>
      </c>
      <c r="E5" s="2" t="s">
        <v>32</v>
      </c>
      <c r="F5" s="2" t="s">
        <v>21</v>
      </c>
      <c r="G5" s="3" t="s">
        <v>33</v>
      </c>
      <c r="H5" s="3" t="s">
        <v>34</v>
      </c>
      <c r="I5" s="3" t="s">
        <v>17</v>
      </c>
      <c r="J5" s="4"/>
    </row>
    <row r="6" spans="1:10">
      <c r="A6" s="2">
        <v>5</v>
      </c>
      <c r="B6" s="2" t="s">
        <v>10</v>
      </c>
      <c r="C6" s="2" t="s">
        <v>35</v>
      </c>
      <c r="D6" s="3" t="s">
        <v>36</v>
      </c>
      <c r="E6" s="2" t="s">
        <v>37</v>
      </c>
      <c r="F6" s="2" t="s">
        <v>38</v>
      </c>
      <c r="G6" s="3" t="s">
        <v>39</v>
      </c>
      <c r="H6" s="3" t="s">
        <v>40</v>
      </c>
      <c r="I6" s="3" t="s">
        <v>17</v>
      </c>
      <c r="J6" s="4"/>
    </row>
    <row r="7" spans="1:10">
      <c r="A7" s="2">
        <v>6</v>
      </c>
      <c r="B7" s="2" t="s">
        <v>10</v>
      </c>
      <c r="C7" s="2" t="s">
        <v>41</v>
      </c>
      <c r="D7" s="3" t="s">
        <v>42</v>
      </c>
      <c r="E7" s="2" t="s">
        <v>43</v>
      </c>
      <c r="F7" s="2" t="s">
        <v>38</v>
      </c>
      <c r="G7" s="3" t="s">
        <v>44</v>
      </c>
      <c r="H7" s="3" t="s">
        <v>45</v>
      </c>
      <c r="I7" s="3" t="s">
        <v>17</v>
      </c>
      <c r="J7" s="4"/>
    </row>
    <row r="8" spans="1:10">
      <c r="A8" s="2">
        <v>7</v>
      </c>
      <c r="B8" s="2" t="s">
        <v>10</v>
      </c>
      <c r="C8" s="2" t="s">
        <v>46</v>
      </c>
      <c r="D8" s="3" t="s">
        <v>47</v>
      </c>
      <c r="E8" s="2" t="s">
        <v>48</v>
      </c>
      <c r="F8" s="2" t="s">
        <v>21</v>
      </c>
      <c r="G8" s="3" t="s">
        <v>49</v>
      </c>
      <c r="H8" s="3" t="s">
        <v>50</v>
      </c>
      <c r="I8" s="3" t="s">
        <v>17</v>
      </c>
      <c r="J8" s="4"/>
    </row>
    <row r="9" spans="1:10">
      <c r="A9" s="2">
        <v>8</v>
      </c>
      <c r="B9" s="2" t="s">
        <v>51</v>
      </c>
      <c r="C9" s="2" t="s">
        <v>52</v>
      </c>
      <c r="D9" s="3" t="s">
        <v>53</v>
      </c>
      <c r="E9" s="2" t="s">
        <v>54</v>
      </c>
      <c r="F9" s="2" t="s">
        <v>55</v>
      </c>
      <c r="G9" s="3" t="s">
        <v>56</v>
      </c>
      <c r="H9" s="3" t="s">
        <v>57</v>
      </c>
      <c r="I9" s="3" t="s">
        <v>17</v>
      </c>
      <c r="J9" s="4"/>
    </row>
    <row r="10" spans="1:10">
      <c r="A10" s="2">
        <v>9</v>
      </c>
      <c r="B10" s="2" t="s">
        <v>51</v>
      </c>
      <c r="C10" s="2" t="s">
        <v>58</v>
      </c>
      <c r="D10" s="3" t="s">
        <v>59</v>
      </c>
      <c r="E10" s="2" t="s">
        <v>60</v>
      </c>
      <c r="F10" s="2" t="s">
        <v>38</v>
      </c>
      <c r="G10" s="3" t="s">
        <v>61</v>
      </c>
      <c r="H10" s="3" t="s">
        <v>62</v>
      </c>
      <c r="I10" s="3" t="s">
        <v>17</v>
      </c>
      <c r="J10" s="4"/>
    </row>
    <row r="11" spans="1:10">
      <c r="A11" s="2">
        <v>10</v>
      </c>
      <c r="B11" s="2" t="s">
        <v>51</v>
      </c>
      <c r="C11" s="2" t="s">
        <v>63</v>
      </c>
      <c r="D11" s="3" t="s">
        <v>64</v>
      </c>
      <c r="E11" s="2" t="s">
        <v>65</v>
      </c>
      <c r="F11" s="2" t="s">
        <v>21</v>
      </c>
      <c r="G11" s="3" t="s">
        <v>66</v>
      </c>
      <c r="H11" s="3" t="s">
        <v>67</v>
      </c>
      <c r="I11" s="3" t="s">
        <v>17</v>
      </c>
      <c r="J11" s="4"/>
    </row>
    <row r="12" spans="1:10">
      <c r="A12" s="2">
        <v>11</v>
      </c>
      <c r="B12" s="2" t="s">
        <v>51</v>
      </c>
      <c r="C12" s="2" t="s">
        <v>68</v>
      </c>
      <c r="D12" s="3" t="s">
        <v>69</v>
      </c>
      <c r="E12" s="2" t="s">
        <v>70</v>
      </c>
      <c r="F12" s="2" t="s">
        <v>21</v>
      </c>
      <c r="G12" s="3" t="s">
        <v>71</v>
      </c>
      <c r="H12" s="3" t="s">
        <v>72</v>
      </c>
      <c r="I12" s="3" t="s">
        <v>17</v>
      </c>
      <c r="J12" s="4"/>
    </row>
    <row r="13" spans="1:10">
      <c r="A13" s="2">
        <v>12</v>
      </c>
      <c r="B13" s="2" t="s">
        <v>51</v>
      </c>
      <c r="C13" s="2" t="s">
        <v>73</v>
      </c>
      <c r="D13" s="3" t="s">
        <v>74</v>
      </c>
      <c r="E13" s="2" t="s">
        <v>75</v>
      </c>
      <c r="F13" s="2" t="s">
        <v>21</v>
      </c>
      <c r="G13" s="3" t="s">
        <v>76</v>
      </c>
      <c r="H13" s="3" t="s">
        <v>77</v>
      </c>
      <c r="I13" s="3" t="s">
        <v>17</v>
      </c>
      <c r="J13" s="4"/>
    </row>
    <row r="14" spans="1:10">
      <c r="A14" s="2">
        <v>13</v>
      </c>
      <c r="B14" s="2" t="s">
        <v>51</v>
      </c>
      <c r="C14" s="2" t="s">
        <v>78</v>
      </c>
      <c r="D14" s="3" t="s">
        <v>79</v>
      </c>
      <c r="E14" s="2" t="s">
        <v>54</v>
      </c>
      <c r="F14" s="2" t="s">
        <v>14</v>
      </c>
      <c r="G14" s="3" t="s">
        <v>80</v>
      </c>
      <c r="H14" s="3" t="s">
        <v>81</v>
      </c>
      <c r="I14" s="3" t="s">
        <v>17</v>
      </c>
      <c r="J14" s="4"/>
    </row>
    <row r="15" spans="1:10">
      <c r="A15" s="2">
        <v>14</v>
      </c>
      <c r="B15" s="2" t="s">
        <v>51</v>
      </c>
      <c r="C15" s="2" t="s">
        <v>82</v>
      </c>
      <c r="D15" s="3" t="s">
        <v>83</v>
      </c>
      <c r="E15" s="2" t="s">
        <v>84</v>
      </c>
      <c r="F15" s="2" t="s">
        <v>21</v>
      </c>
      <c r="G15" s="3" t="s">
        <v>85</v>
      </c>
      <c r="H15" s="3" t="s">
        <v>86</v>
      </c>
      <c r="I15" s="3" t="s">
        <v>17</v>
      </c>
      <c r="J15" s="4"/>
    </row>
    <row r="16" spans="1:10">
      <c r="A16" s="2">
        <v>15</v>
      </c>
      <c r="B16" s="2" t="s">
        <v>87</v>
      </c>
      <c r="C16" s="2" t="s">
        <v>88</v>
      </c>
      <c r="D16" s="3" t="s">
        <v>89</v>
      </c>
      <c r="E16" s="2" t="s">
        <v>90</v>
      </c>
      <c r="F16" s="2" t="s">
        <v>38</v>
      </c>
      <c r="G16" s="3" t="s">
        <v>91</v>
      </c>
      <c r="H16" s="3" t="s">
        <v>92</v>
      </c>
      <c r="I16" s="3" t="s">
        <v>17</v>
      </c>
      <c r="J16" s="4"/>
    </row>
    <row r="17" spans="1:10">
      <c r="A17" s="2">
        <v>16</v>
      </c>
      <c r="B17" s="2" t="s">
        <v>87</v>
      </c>
      <c r="C17" s="2" t="s">
        <v>93</v>
      </c>
      <c r="D17" s="3" t="s">
        <v>94</v>
      </c>
      <c r="E17" s="2" t="s">
        <v>54</v>
      </c>
      <c r="F17" s="2" t="s">
        <v>21</v>
      </c>
      <c r="G17" s="3" t="s">
        <v>95</v>
      </c>
      <c r="H17" s="3" t="s">
        <v>96</v>
      </c>
      <c r="I17" s="3" t="s">
        <v>17</v>
      </c>
      <c r="J17" s="4"/>
    </row>
    <row r="18" spans="1:10">
      <c r="A18" s="2">
        <v>17</v>
      </c>
      <c r="B18" s="2" t="s">
        <v>87</v>
      </c>
      <c r="C18" s="2" t="s">
        <v>97</v>
      </c>
      <c r="D18" s="3" t="s">
        <v>98</v>
      </c>
      <c r="E18" s="2" t="s">
        <v>99</v>
      </c>
      <c r="F18" s="2" t="s">
        <v>38</v>
      </c>
      <c r="G18" s="3" t="s">
        <v>100</v>
      </c>
      <c r="H18" s="3" t="s">
        <v>101</v>
      </c>
      <c r="I18" s="3" t="s">
        <v>17</v>
      </c>
      <c r="J18" s="4"/>
    </row>
    <row r="19" spans="1:10">
      <c r="A19" s="2">
        <v>18</v>
      </c>
      <c r="B19" s="2" t="s">
        <v>87</v>
      </c>
      <c r="C19" s="2" t="s">
        <v>102</v>
      </c>
      <c r="D19" s="3" t="s">
        <v>103</v>
      </c>
      <c r="E19" s="2" t="s">
        <v>104</v>
      </c>
      <c r="F19" s="2" t="s">
        <v>38</v>
      </c>
      <c r="G19" s="3" t="s">
        <v>105</v>
      </c>
      <c r="H19" s="3" t="s">
        <v>106</v>
      </c>
      <c r="I19" s="3" t="s">
        <v>17</v>
      </c>
      <c r="J19" s="4"/>
    </row>
    <row r="20" spans="1:10">
      <c r="A20" s="2">
        <v>19</v>
      </c>
      <c r="B20" s="2" t="s">
        <v>87</v>
      </c>
      <c r="C20" s="2" t="s">
        <v>107</v>
      </c>
      <c r="D20" s="3" t="s">
        <v>108</v>
      </c>
      <c r="E20" s="2" t="s">
        <v>109</v>
      </c>
      <c r="F20" s="2" t="s">
        <v>55</v>
      </c>
      <c r="G20" s="3" t="s">
        <v>110</v>
      </c>
      <c r="H20" s="3" t="s">
        <v>111</v>
      </c>
      <c r="I20" s="3" t="s">
        <v>17</v>
      </c>
      <c r="J20" s="4"/>
    </row>
    <row r="21" spans="1:10">
      <c r="A21" s="2">
        <v>20</v>
      </c>
      <c r="B21" s="2" t="s">
        <v>87</v>
      </c>
      <c r="C21" s="2" t="s">
        <v>112</v>
      </c>
      <c r="D21" s="3" t="s">
        <v>113</v>
      </c>
      <c r="E21" s="2" t="s">
        <v>114</v>
      </c>
      <c r="F21" s="2" t="s">
        <v>38</v>
      </c>
      <c r="G21" s="3" t="s">
        <v>115</v>
      </c>
      <c r="H21" s="3" t="s">
        <v>116</v>
      </c>
      <c r="I21" s="3" t="s">
        <v>17</v>
      </c>
      <c r="J21" s="4"/>
    </row>
    <row r="22" spans="1:10">
      <c r="A22" s="2">
        <v>21</v>
      </c>
      <c r="B22" s="2" t="s">
        <v>87</v>
      </c>
      <c r="C22" s="2" t="s">
        <v>117</v>
      </c>
      <c r="D22" s="3" t="s">
        <v>118</v>
      </c>
      <c r="E22" s="2" t="s">
        <v>109</v>
      </c>
      <c r="F22" s="2" t="s">
        <v>55</v>
      </c>
      <c r="G22" s="3" t="s">
        <v>119</v>
      </c>
      <c r="H22" s="3" t="s">
        <v>120</v>
      </c>
      <c r="I22" s="3" t="s">
        <v>17</v>
      </c>
      <c r="J22" s="4"/>
    </row>
    <row r="23" spans="1:10">
      <c r="A23" s="2">
        <v>22</v>
      </c>
      <c r="B23" s="2" t="s">
        <v>121</v>
      </c>
      <c r="C23" s="2" t="s">
        <v>122</v>
      </c>
      <c r="D23" s="3" t="s">
        <v>123</v>
      </c>
      <c r="E23" s="2" t="s">
        <v>124</v>
      </c>
      <c r="F23" s="2" t="s">
        <v>38</v>
      </c>
      <c r="G23" s="3" t="s">
        <v>125</v>
      </c>
      <c r="H23" s="3" t="s">
        <v>126</v>
      </c>
      <c r="I23" s="3" t="s">
        <v>17</v>
      </c>
      <c r="J23" s="4"/>
    </row>
    <row r="24" spans="1:10">
      <c r="A24" s="2">
        <v>23</v>
      </c>
      <c r="B24" s="2" t="s">
        <v>121</v>
      </c>
      <c r="C24" s="2" t="s">
        <v>127</v>
      </c>
      <c r="D24" s="3" t="s">
        <v>128</v>
      </c>
      <c r="E24" s="2" t="s">
        <v>129</v>
      </c>
      <c r="F24" s="2" t="s">
        <v>21</v>
      </c>
      <c r="G24" s="3" t="s">
        <v>130</v>
      </c>
      <c r="H24" s="3" t="s">
        <v>131</v>
      </c>
      <c r="I24" s="3" t="s">
        <v>17</v>
      </c>
      <c r="J24" s="4"/>
    </row>
    <row r="25" spans="1:10">
      <c r="A25" s="2">
        <v>24</v>
      </c>
      <c r="B25" s="2" t="s">
        <v>121</v>
      </c>
      <c r="C25" s="2" t="s">
        <v>132</v>
      </c>
      <c r="D25" s="3" t="s">
        <v>133</v>
      </c>
      <c r="E25" s="2" t="s">
        <v>134</v>
      </c>
      <c r="F25" s="2" t="s">
        <v>38</v>
      </c>
      <c r="G25" s="3" t="s">
        <v>135</v>
      </c>
      <c r="H25" s="3" t="s">
        <v>136</v>
      </c>
      <c r="I25" s="3" t="s">
        <v>17</v>
      </c>
      <c r="J25" s="4"/>
    </row>
    <row r="26" spans="1:10">
      <c r="A26" s="2">
        <v>25</v>
      </c>
      <c r="B26" s="2" t="s">
        <v>121</v>
      </c>
      <c r="C26" s="2" t="s">
        <v>137</v>
      </c>
      <c r="D26" s="3" t="s">
        <v>138</v>
      </c>
      <c r="E26" s="2" t="s">
        <v>54</v>
      </c>
      <c r="F26" s="2" t="s">
        <v>38</v>
      </c>
      <c r="G26" s="3" t="s">
        <v>139</v>
      </c>
      <c r="H26" s="3" t="s">
        <v>140</v>
      </c>
      <c r="I26" s="3" t="s">
        <v>17</v>
      </c>
      <c r="J26" s="4"/>
    </row>
    <row r="27" spans="1:10">
      <c r="A27" s="2">
        <v>26</v>
      </c>
      <c r="B27" s="2" t="s">
        <v>121</v>
      </c>
      <c r="C27" s="2" t="s">
        <v>141</v>
      </c>
      <c r="D27" s="3" t="s">
        <v>142</v>
      </c>
      <c r="E27" s="2" t="s">
        <v>109</v>
      </c>
      <c r="F27" s="2" t="s">
        <v>55</v>
      </c>
      <c r="G27" s="3" t="s">
        <v>143</v>
      </c>
      <c r="H27" s="3" t="s">
        <v>144</v>
      </c>
      <c r="I27" s="3" t="s">
        <v>17</v>
      </c>
      <c r="J27" s="4"/>
    </row>
    <row r="28" spans="1:10">
      <c r="A28" s="2">
        <v>27</v>
      </c>
      <c r="B28" s="2" t="s">
        <v>121</v>
      </c>
      <c r="C28" s="2" t="s">
        <v>145</v>
      </c>
      <c r="D28" s="3" t="s">
        <v>146</v>
      </c>
      <c r="E28" s="2" t="s">
        <v>147</v>
      </c>
      <c r="F28" s="2" t="s">
        <v>55</v>
      </c>
      <c r="G28" s="3" t="s">
        <v>148</v>
      </c>
      <c r="H28" s="3" t="s">
        <v>149</v>
      </c>
      <c r="I28" s="3" t="s">
        <v>17</v>
      </c>
      <c r="J28" s="4"/>
    </row>
    <row r="29" spans="1:10">
      <c r="A29" s="2">
        <v>28</v>
      </c>
      <c r="B29" s="2" t="s">
        <v>121</v>
      </c>
      <c r="C29" s="2" t="s">
        <v>150</v>
      </c>
      <c r="D29" s="3" t="s">
        <v>151</v>
      </c>
      <c r="E29" s="2" t="s">
        <v>152</v>
      </c>
      <c r="F29" s="2" t="s">
        <v>38</v>
      </c>
      <c r="G29" s="3" t="s">
        <v>153</v>
      </c>
      <c r="H29" s="3" t="s">
        <v>154</v>
      </c>
      <c r="I29" s="3" t="s">
        <v>17</v>
      </c>
      <c r="J29" s="4"/>
    </row>
    <row r="30" spans="1:10">
      <c r="A30" s="2">
        <v>29</v>
      </c>
      <c r="B30" s="2" t="s">
        <v>155</v>
      </c>
      <c r="C30" s="2" t="s">
        <v>156</v>
      </c>
      <c r="D30" s="3" t="s">
        <v>157</v>
      </c>
      <c r="E30" s="2" t="s">
        <v>158</v>
      </c>
      <c r="F30" s="2" t="s">
        <v>55</v>
      </c>
      <c r="G30" s="3" t="s">
        <v>159</v>
      </c>
      <c r="H30" s="3" t="s">
        <v>160</v>
      </c>
      <c r="I30" s="3" t="s">
        <v>17</v>
      </c>
      <c r="J30" s="4"/>
    </row>
    <row r="31" spans="1:10">
      <c r="A31" s="2">
        <v>30</v>
      </c>
      <c r="B31" s="2" t="s">
        <v>155</v>
      </c>
      <c r="C31" s="2" t="s">
        <v>161</v>
      </c>
      <c r="D31" s="3" t="s">
        <v>162</v>
      </c>
      <c r="E31" s="2" t="s">
        <v>90</v>
      </c>
      <c r="F31" s="2" t="s">
        <v>55</v>
      </c>
      <c r="G31" s="3" t="s">
        <v>163</v>
      </c>
      <c r="H31" s="3" t="s">
        <v>164</v>
      </c>
      <c r="I31" s="3" t="s">
        <v>17</v>
      </c>
      <c r="J31" s="4"/>
    </row>
    <row r="32" spans="1:10">
      <c r="A32" s="2">
        <v>31</v>
      </c>
      <c r="B32" s="2" t="s">
        <v>155</v>
      </c>
      <c r="C32" s="2" t="s">
        <v>165</v>
      </c>
      <c r="D32" s="3" t="s">
        <v>166</v>
      </c>
      <c r="E32" s="2" t="s">
        <v>104</v>
      </c>
      <c r="F32" s="2" t="s">
        <v>55</v>
      </c>
      <c r="G32" s="3" t="s">
        <v>167</v>
      </c>
      <c r="H32" s="3" t="s">
        <v>168</v>
      </c>
      <c r="I32" s="3" t="s">
        <v>17</v>
      </c>
      <c r="J32" s="4"/>
    </row>
    <row r="33" spans="1:10">
      <c r="A33" s="2">
        <v>32</v>
      </c>
      <c r="B33" s="2" t="s">
        <v>155</v>
      </c>
      <c r="C33" s="2" t="s">
        <v>169</v>
      </c>
      <c r="D33" s="3" t="s">
        <v>170</v>
      </c>
      <c r="E33" s="2" t="s">
        <v>171</v>
      </c>
      <c r="F33" s="2" t="s">
        <v>55</v>
      </c>
      <c r="G33" s="3" t="s">
        <v>172</v>
      </c>
      <c r="H33" s="3" t="s">
        <v>173</v>
      </c>
      <c r="I33" s="3" t="s">
        <v>17</v>
      </c>
      <c r="J33" s="4"/>
    </row>
    <row r="34" spans="1:10">
      <c r="A34" s="2">
        <v>33</v>
      </c>
      <c r="B34" s="2" t="s">
        <v>155</v>
      </c>
      <c r="C34" s="2" t="s">
        <v>174</v>
      </c>
      <c r="D34" s="3" t="s">
        <v>175</v>
      </c>
      <c r="E34" s="2" t="s">
        <v>176</v>
      </c>
      <c r="F34" s="2" t="s">
        <v>38</v>
      </c>
      <c r="G34" s="3" t="s">
        <v>177</v>
      </c>
      <c r="H34" s="3" t="s">
        <v>178</v>
      </c>
      <c r="I34" s="3" t="s">
        <v>17</v>
      </c>
      <c r="J34" s="4"/>
    </row>
    <row r="35" spans="1:10">
      <c r="A35" s="2">
        <v>34</v>
      </c>
      <c r="B35" s="2" t="s">
        <v>155</v>
      </c>
      <c r="C35" s="2" t="s">
        <v>179</v>
      </c>
      <c r="D35" s="3" t="s">
        <v>180</v>
      </c>
      <c r="E35" s="2" t="s">
        <v>90</v>
      </c>
      <c r="F35" s="2" t="s">
        <v>38</v>
      </c>
      <c r="G35" s="3" t="s">
        <v>181</v>
      </c>
      <c r="H35" s="3" t="s">
        <v>182</v>
      </c>
      <c r="I35" s="3" t="s">
        <v>17</v>
      </c>
      <c r="J35" s="4"/>
    </row>
    <row r="36" spans="1:10">
      <c r="A36" s="2">
        <v>35</v>
      </c>
      <c r="B36" s="2" t="s">
        <v>155</v>
      </c>
      <c r="C36" s="2" t="s">
        <v>183</v>
      </c>
      <c r="D36" s="3" t="s">
        <v>184</v>
      </c>
      <c r="E36" s="2" t="s">
        <v>104</v>
      </c>
      <c r="F36" s="2" t="s">
        <v>55</v>
      </c>
      <c r="G36" s="3" t="s">
        <v>185</v>
      </c>
      <c r="H36" s="3" t="s">
        <v>186</v>
      </c>
      <c r="I36" s="3" t="s">
        <v>17</v>
      </c>
      <c r="J36" s="4"/>
    </row>
  </sheetData>
  <dataValidations count="1">
    <dataValidation type="whole" allowBlank="1" showInputMessage="1" showErrorMessage="1" promptTitle="Score (-2..2)" prompt="Gültige Werte: -2, -1, 0, 1, 2" sqref="J2:J36">
      <formula1>-2</formula1>
      <formula2>2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5" t="s">
        <v>187</v>
      </c>
    </row>
    <row r="3" spans="1:3">
      <c r="A3" s="1" t="s">
        <v>188</v>
      </c>
      <c r="B3" s="1" t="s">
        <v>189</v>
      </c>
      <c r="C3" s="1" t="s">
        <v>190</v>
      </c>
    </row>
    <row r="4" spans="1:3">
      <c r="A4" s="2" t="s">
        <v>10</v>
      </c>
      <c r="B4" s="2" t="s">
        <v>191</v>
      </c>
      <c r="C4" s="4">
        <f>AVERAGEIF('Testbatterie (35 Tests)'!B:B,"Offenheit",'Testbatterie (35 Tests)'!J:J)</f>
        <v>0</v>
      </c>
    </row>
    <row r="5" spans="1:3">
      <c r="A5" s="2" t="s">
        <v>51</v>
      </c>
      <c r="B5" s="2" t="s">
        <v>192</v>
      </c>
      <c r="C5" s="4">
        <f>AVERAGEIF('Testbatterie (35 Tests)'!B:B,"Gewissenhaftigkeit",'Testbatterie (35 Tests)'!J:J)</f>
        <v>0</v>
      </c>
    </row>
    <row r="6" spans="1:3">
      <c r="A6" s="2" t="s">
        <v>87</v>
      </c>
      <c r="B6" s="2" t="s">
        <v>193</v>
      </c>
      <c r="C6" s="4">
        <f>AVERAGEIF('Testbatterie (35 Tests)'!B:B,"Extraversion",'Testbatterie (35 Tests)'!J:J)</f>
        <v>0</v>
      </c>
    </row>
    <row r="7" spans="1:3">
      <c r="A7" s="2" t="s">
        <v>121</v>
      </c>
      <c r="B7" s="2" t="s">
        <v>194</v>
      </c>
      <c r="C7" s="4">
        <f>AVERAGEIF('Testbatterie (35 Tests)'!B:B,"Verträglichkeit",'Testbatterie (35 Tests)'!J:J)</f>
        <v>0</v>
      </c>
    </row>
    <row r="8" spans="1:3">
      <c r="A8" s="2" t="s">
        <v>155</v>
      </c>
      <c r="B8" s="2" t="s">
        <v>195</v>
      </c>
      <c r="C8" s="4">
        <f>AVERAGEIF('Testbatterie (35 Tests)'!B:B,"Neurotizismus",'Testbatterie (35 Tests)'!J:J)</f>
        <v>0</v>
      </c>
    </row>
    <row r="11" spans="1:3">
      <c r="A11" s="1" t="s">
        <v>196</v>
      </c>
    </row>
    <row r="12" spans="1:3">
      <c r="A12" s="3" t="s">
        <v>197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Testbatterie (35 Tests)</vt:lpstr>
      <vt:lpstr>Auswertung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2025-10-10T16:23:51Z</dcterms:created>
  <dcterms:modified xsi:type="dcterms:W3CDTF">2025-10-10T16:23:51Z</dcterms:modified>
</cp:coreProperties>
</file>